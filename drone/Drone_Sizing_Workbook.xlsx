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brianchung/Documents/BrianProjects/Drone/"/>
    </mc:Choice>
  </mc:AlternateContent>
  <xr:revisionPtr revIDLastSave="0" documentId="13_ncr:1_{6B0CD0A6-90A0-0C42-AE7F-1380B4C2D623}" xr6:coauthVersionLast="47" xr6:coauthVersionMax="47" xr10:uidLastSave="{00000000-0000-0000-0000-000000000000}"/>
  <bookViews>
    <workbookView xWindow="0" yWindow="760" windowWidth="30240" windowHeight="17860" tabRatio="500" activeTab="2" xr2:uid="{00000000-000D-0000-FFFF-FFFF00000000}"/>
  </bookViews>
  <sheets>
    <sheet name="README" sheetId="1" r:id="rId1"/>
    <sheet name="Concepts Explained" sheetId="2" r:id="rId2"/>
    <sheet name="Sizing Calculator"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54" i="3" l="1"/>
  <c r="C53" i="3"/>
  <c r="C39" i="3"/>
  <c r="C32" i="3"/>
  <c r="C21" i="3"/>
  <c r="C26" i="3" s="1"/>
  <c r="C20" i="3"/>
  <c r="C27" i="3" l="1"/>
  <c r="C28" i="3"/>
  <c r="C29" i="3" s="1"/>
  <c r="C51" i="3" s="1"/>
  <c r="C50" i="3"/>
  <c r="C30" i="3"/>
  <c r="C37" i="3" s="1"/>
  <c r="C40" i="3" s="1"/>
  <c r="C41" i="3" s="1"/>
  <c r="C43" i="3" s="1"/>
  <c r="C52" i="3" l="1"/>
  <c r="C44" i="3"/>
  <c r="C46" i="3" s="1"/>
</calcChain>
</file>

<file path=xl/sharedStrings.xml><?xml version="1.0" encoding="utf-8"?>
<sst xmlns="http://schemas.openxmlformats.org/spreadsheetml/2006/main" count="167" uniqueCount="133">
  <si>
    <t>Drone Build Project — Master Sizing Workbook</t>
  </si>
  <si>
    <t>Purpose</t>
  </si>
  <si>
    <t>This workbook is your single source of truth for the engineering numbers behind your drone build. It starts with Phase 2 (conceptual sizing) and will get new tabs added as you move through CAD, structural analysis, and component selection. Every number that matters has a plain-English explanation next to it — you should never have to take a formula on faith.</t>
  </si>
  <si>
    <t>How to use it</t>
  </si>
  <si>
    <t>Yellow cells</t>
  </si>
  <si>
    <t>These are INPUTS — values you type in or that we agree on together. Everything else is a formula that recalculates automatically.</t>
  </si>
  <si>
    <t>Green cells</t>
  </si>
  <si>
    <t>These are RESULTS — the key numbers that come out of the calculations. These are what you'll use to pick real components later.</t>
  </si>
  <si>
    <t>Orange cells</t>
  </si>
  <si>
    <t>These are WARNINGS — the sheet will flag if a number looks risky (e.g. thrust-to-weight too low) so we catch problems on paper, not after buying parts.</t>
  </si>
  <si>
    <t>Concepts tab</t>
  </si>
  <si>
    <t>Read this first. It explains every term (thrust-to-weight, KV, C-rating, etc.) in plain language before you hit the calculator.</t>
  </si>
  <si>
    <t>Sizing Calculator tab</t>
  </si>
  <si>
    <t>The actual Phase 2 math: weight budget -&gt; thrust requirement -&gt; motor/prop candidates -&gt; battery sizing.</t>
  </si>
  <si>
    <t>Workflow going forward</t>
  </si>
  <si>
    <t>1. We finalize Phase 2 numbers here (estimates).
2. You build the frame in SolidWorks; we pull REAL mass properties back into this sheet.
3. We re-check thrust-to-weight with real numbers — if it's off, we adjust CAD or motor choice, not buy parts yet.
4. Only once Phase 2+3 numbers agree do we move to Phase 5 (actual purchasing).</t>
  </si>
  <si>
    <t>Concepts Explained — Read This Before The Calculator</t>
  </si>
  <si>
    <t>AUW (All-Up Weight)</t>
  </si>
  <si>
    <t>The total weight of the drone ready to fly: frame + motors + props + ESCs + flight controller + wiring + battery + camera. This is the single most important number in the whole design — almost everything else (thrust needed, motor size, flight time) is derived from it.</t>
  </si>
  <si>
    <t>Thrust-to-Weight Ratio (T/W)</t>
  </si>
  <si>
    <t>Total thrust all 4 motors can produce, divided by AUW. A T/W of 2:1 means the drone could theoretically accelerate upward at 1g if motors were maxed out. You never fly at max throttle, so T/W is a SAFETY/CONTROL MARGIN, not a speed number. Low T/W (under ~2) = sluggish, poor wind resistance, risk of not being able to hover at all if you're heavier than planned. High T/W (4+) = very agile but usually unnecessary for a camera platform and wastes weight/cost. For a stable camera platform we're targeting ~2.5:1.</t>
  </si>
  <si>
    <t>KV Rating (motors)</t>
  </si>
  <si>
    <t>Motor KV = RPM produced per volt of input, with NO load (no propeller) attached. Counterintuitively, LOWER KV motors are used with LARGER propellers, and HIGHER KV motors are used with SMALLER propellers. This is because big props need more torque and less RPM to produce thrust efficiently, while small props need to spin fast to produce the same thrust. For our 7-10in prop range, we're looking at roughly 700-1000KV motors (this gets refined once we pick exact props).</t>
  </si>
  <si>
    <t>Propeller Pitch &amp; Diameter</t>
  </si>
  <si>
    <t>Props are labeled like '10x4.5' = 10 inch diameter, 4.5 inch pitch. Diameter affects how much air the prop moves (more diameter = more thrust, generally more efficient at hover). Pitch affects how 'aggressive' the prop is per rotation. For a stable camera platform, larger diameter + moderate pitch favors efficiency (longer flight time) over speed.</t>
  </si>
  <si>
    <t>Static Thrust</t>
  </si>
  <si>
    <t>The thrust a motor+prop combo produces while hovering in place (not moving forward). This is what we size against, since hovering for photography is the main use case. Manufacturers publish static thrust tables for motor+prop+battery-voltage combinations — we will use REAL published data here, not estimates, once we get to Phase 5.</t>
  </si>
  <si>
    <t>LiPo Cell Count (S rating)</t>
  </si>
  <si>
    <t>LiPo batteries are made of cells in series, each ~3.7V nominal (4.2V full charge). '4S' = 4 cells in series = ~14.8V nominal. More cells = more voltage = generally more power available for the same current, which lets you use smaller/lighter wiring for a given power level. For a 7-10in prop quad, 4S or 6S is typical.</t>
  </si>
  <si>
    <t>Battery Capacity (mAh) &amp; C-rating</t>
  </si>
  <si>
    <t>Capacity (mAh) is how much energy the battery stores — bigger number = longer flight time but more weight. C-rating is how fast the battery can safely discharge that energy (higher C = can supply higher current bursts safely). We'll size mAh directly from your power budget; C-rating just needs to be high enough that the battery doesn't bottleneck the motors at full throttle.</t>
  </si>
  <si>
    <t>Power Budget / Current Draw</t>
  </si>
  <si>
    <t>Each motor at hover throttle draws a certain current (Amps). Total current x voltage = power (Watts). This is what determines how fast you drain the battery, which is what determines flight time for a given battery capacity.</t>
  </si>
  <si>
    <t>Flight Time Estimate</t>
  </si>
  <si>
    <t>Rough formula: Flight Time (minutes) = (Battery capacity in mAh x Usable fraction, typically ~80%) / (Total hover current draw in mA) x 60. This is an ESTIMATE — real flight time depends on wind, flying style, payload, and efficiency losses, but it's accurate enough to size a battery on paper.</t>
  </si>
  <si>
    <t>Vibration / Natural Frequency (preview for Phase 4)</t>
  </si>
  <si>
    <t>Motors spinning at certain RPMs create vibration at that frequency. If that frequency matches the natural resonant frequency of your frame arms, you get amplified vibration (bad for camera footage, bad for structural fatigue over time). We'll check this in SolidWorks Frequency/Modal analysis once the frame is modeled — flagging it now so it's not a surprise later.</t>
  </si>
  <si>
    <t>Why we size in THIS order</t>
  </si>
  <si>
    <t>Weight estimate -&gt; Thrust needed -&gt; Motor/prop candidates -&gt; Current draw of those motors -&gt; Battery size for target flight time -&gt; Battery WEIGHT feeds back into total weight. This is circular (battery weight affects the weight estimate that sized the battery!), so we do 2 passes: a rough first pass, then a refined second pass once we have real candidate parts.</t>
  </si>
  <si>
    <t>Phase 2 — Conceptual Sizing Calculator</t>
  </si>
  <si>
    <t>Pass 1 = rough estimate. Pass 2 (later) = refine with real CAD mass + real component data.</t>
  </si>
  <si>
    <t>1. Requirements (from Phase 1 — locked)</t>
  </si>
  <si>
    <t>Parameter</t>
  </si>
  <si>
    <t>Value</t>
  </si>
  <si>
    <t>Unit</t>
  </si>
  <si>
    <t>Notes</t>
  </si>
  <si>
    <t>Configuration</t>
  </si>
  <si>
    <t>Quadcopter</t>
  </si>
  <si>
    <t>-</t>
  </si>
  <si>
    <t>4 motors, standard for first build</t>
  </si>
  <si>
    <t>Propeller size target</t>
  </si>
  <si>
    <t>in</t>
  </si>
  <si>
    <t>Midpoint of 7-10in range — adjust as we narrow down</t>
  </si>
  <si>
    <t>Camera payload weight</t>
  </si>
  <si>
    <t>g</t>
  </si>
  <si>
    <t>Target flight time</t>
  </si>
  <si>
    <t>min</t>
  </si>
  <si>
    <t>Hover-equivalent estimate</t>
  </si>
  <si>
    <t>Target thrust-to-weight ratio</t>
  </si>
  <si>
    <t>ratio</t>
  </si>
  <si>
    <t>Good margin for a stable camera platform without over-building</t>
  </si>
  <si>
    <t>2. Weight Budget (Pass 1 estimate)</t>
  </si>
  <si>
    <t>Component</t>
  </si>
  <si>
    <t>Est. Weight</t>
  </si>
  <si>
    <t>Frame (arms + center plate + mounts)</t>
  </si>
  <si>
    <t>Realistic for 8-10in prop class (350-450mm wheelbase) — larger/stronger than 5in racing frames. Source: typical F450/F550-class frame weights.</t>
  </si>
  <si>
    <t>4x Motors</t>
  </si>
  <si>
    <t>~65g each — 2212-2814 class motors typical for 7-10in props (e.g. 2212 920KV, 2814 class)</t>
  </si>
  <si>
    <t>4x ESCs (electronic speed controllers)</t>
  </si>
  <si>
    <t>~15g each, or less if using a 4-in-1 ESC</t>
  </si>
  <si>
    <t>Flight controller + wiring/connectors</t>
  </si>
  <si>
    <t>Includes FC board, power distribution, misc wiring</t>
  </si>
  <si>
    <t>4x Propellers</t>
  </si>
  <si>
    <t>~15g each at 8-10in size (larger/heavier than sub-250 micro props)</t>
  </si>
  <si>
    <t>Landing gear / misc hardware</t>
  </si>
  <si>
    <t>Screws, standoffs, vibration dampers</t>
  </si>
  <si>
    <t>Camera (from Requirements)</t>
  </si>
  <si>
    <t>Pulled from requirements section above</t>
  </si>
  <si>
    <t>Subtotal: Airframe + Electronics + Camera (no battery yet)</t>
  </si>
  <si>
    <t>Battery weight gets added in Section 4, after we size it.</t>
  </si>
  <si>
    <t>3. Thrust Requirement</t>
  </si>
  <si>
    <t>Working AUW = Subtotal + assumed battery weight</t>
  </si>
  <si>
    <t>First-guess battery weight for a 4S ~2200mAh pack (typical for this class) — refined in Section 4.</t>
  </si>
  <si>
    <t>Total Estimated AUW</t>
  </si>
  <si>
    <t>Airframe/electronics/camera subtotal + assumed battery weight</t>
  </si>
  <si>
    <t>Total Estimated AUW (kg)</t>
  </si>
  <si>
    <t>kg</t>
  </si>
  <si>
    <t>Required Total Thrust (all 4 motors, hover x T/W target)</t>
  </si>
  <si>
    <t>g-force</t>
  </si>
  <si>
    <t>Auw x target thrust-to-weight ratio. this is the total thrust all 4 motors must be capable of (not hover thrust).</t>
  </si>
  <si>
    <t>Required Thrust PER MOTOR</t>
  </si>
  <si>
    <t>This is the number you match against manufacturer motor+prop thrust tables in Phase 5.</t>
  </si>
  <si>
    <t>Hover thrust PER MOTOR (at AUW, not max)</t>
  </si>
  <si>
    <t>Reference only: this is roughly the throttle level needed just to hover (~1/T-W of max). Useful sanity check.</t>
  </si>
  <si>
    <t>Sanity check</t>
  </si>
  <si>
    <t>4. Battery Sizing (for target flight time)</t>
  </si>
  <si>
    <t>Assumed propeller efficiency (hover, mid-throttle)</t>
  </si>
  <si>
    <t>g thrust/W</t>
  </si>
  <si>
    <t>Industry rule-of-thumb for a decent-quality motor/prop at ~50% hover throttle is ~8 g of thrust per watt of input power (efficiency drops at full throttle, e.g. ~6-7 g/W). This converts hover thrust directly into power draw -- more physically grounded than guessing an amperage. Refine with manufacturer thrust-table data in Phase 5.</t>
  </si>
  <si>
    <t>Hover power draw PER MOTOR</t>
  </si>
  <si>
    <t>W</t>
  </si>
  <si>
    <t>Hover thrust per motor (from section 3) / propeller efficiency.</t>
  </si>
  <si>
    <t>Assumed cell count</t>
  </si>
  <si>
    <t>S (cells)</t>
  </si>
  <si>
    <t>4S (~14.8V nominal) is standard for 7-10in class. 6S possible if motors are chosen for higher voltage/lower current.</t>
  </si>
  <si>
    <t>Nominal battery voltage (from cell count, 3.7V/cell nominal)</t>
  </si>
  <si>
    <t>V</t>
  </si>
  <si>
    <t>Pulled from the cell count entered just above.</t>
  </si>
  <si>
    <t>Estimated current draw PER MOTOR at hover</t>
  </si>
  <si>
    <t>A</t>
  </si>
  <si>
    <t>Hover power per motor / nominal pack voltage. derived, not guessed -- will move automatically if weight or t/w changes.</t>
  </si>
  <si>
    <t>Total hover current draw (4 motors)</t>
  </si>
  <si>
    <t>Usable battery capacity fraction</t>
  </si>
  <si>
    <t>LiPo batteries shouldn't be drained below ~20% regularly (damages cells / unsafe) — so only ~80% is usable flight time.</t>
  </si>
  <si>
    <t>Required battery capacity</t>
  </si>
  <si>
    <t>mAh</t>
  </si>
  <si>
    <t>(target minutes x total current in ma / 60) / usable fraction. this is your battery capacity target.</t>
  </si>
  <si>
    <t>Estimated battery weight (typical ~190 g per 1000mAh at 4S)</t>
  </si>
  <si>
    <t>Rough rule of thumb for 4S LiPo packs — refine with real datasheet weight once a specific battery is chosen.</t>
  </si>
  <si>
    <t>Does assumed battery weight match the calculated one?</t>
  </si>
  <si>
    <t>5. Pass 1 Summary — Carry These Forward</t>
  </si>
  <si>
    <t>Result</t>
  </si>
  <si>
    <t>Used for</t>
  </si>
  <si>
    <t>Target weight to hit (or beat) once real CAD mass is known</t>
  </si>
  <si>
    <t>Required thrust per motor</t>
  </si>
  <si>
    <t>Matching against motor+prop thrust tables in Phase 5</t>
  </si>
  <si>
    <t>Selecting a real battery in Phase 5</t>
  </si>
  <si>
    <t>S</t>
  </si>
  <si>
    <t>Determines motor KV range and voltage compatibility</t>
  </si>
  <si>
    <t>Target propeller size</t>
  </si>
  <si>
    <t>Starting point for motor/prop combo research</t>
  </si>
  <si>
    <t>Source/Link</t>
  </si>
  <si>
    <t>Go pro Hero 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</si>
</sst>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charset val="1"/>
    </font>
    <font>
      <b/>
      <sz val="14"/>
      <color rgb="FFFFFFFF"/>
      <name val="Arial"/>
      <family val="2"/>
    </font>
    <font>
      <b/>
      <sz val="10"/>
      <name val="Arial"/>
      <family val="2"/>
    </font>
    <font>
      <sz val="10"/>
      <name val="Arial"/>
      <family val="2"/>
    </font>
    <font>
      <i/>
      <sz val="10"/>
      <name val="Arial"/>
      <family val="2"/>
    </font>
    <font>
      <b/>
      <sz val="11"/>
      <name val="Arial"/>
      <family val="2"/>
    </font>
  </fonts>
  <fills count="10">
    <fill>
      <patternFill patternType="none"/>
    </fill>
    <fill>
      <patternFill patternType="gray125"/>
    </fill>
    <fill>
      <patternFill patternType="solid">
        <fgColor rgb="FF1F4E78"/>
        <bgColor rgb="FF003366"/>
      </patternFill>
    </fill>
    <fill>
      <patternFill patternType="solid">
        <fgColor rgb="FFD9E2F3"/>
        <bgColor rgb="FFE2EFDA"/>
      </patternFill>
    </fill>
    <fill>
      <patternFill patternType="solid">
        <fgColor rgb="FFFFFF99"/>
        <bgColor rgb="FFFCE4D6"/>
      </patternFill>
    </fill>
    <fill>
      <patternFill patternType="solid">
        <fgColor rgb="FFE2EFDA"/>
        <bgColor rgb="FFD9E2F3"/>
      </patternFill>
    </fill>
    <fill>
      <patternFill patternType="solid">
        <fgColor rgb="FFFFFFFF"/>
        <bgColor rgb="FFE2EFDA"/>
      </patternFill>
    </fill>
    <fill>
      <patternFill patternType="solid">
        <fgColor rgb="FFFCE4D6"/>
        <bgColor rgb="FFE2EFDA"/>
      </patternFill>
    </fill>
    <fill>
      <patternFill patternType="solid">
        <fgColor rgb="FF00B050"/>
        <bgColor rgb="FFFCE4D6"/>
      </patternFill>
    </fill>
    <fill>
      <patternFill patternType="solid">
        <fgColor rgb="FFFFFF00"/>
        <b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2" fillId="0" borderId="0" xfId="0" applyFont="1" applyAlignment="1">
      <alignment horizontal="left" vertical="center"/>
    </xf>
    <xf numFmtId="0" fontId="3" fillId="0" borderId="0" xfId="0" applyFont="1" applyAlignment="1">
      <alignment horizontal="left" vertical="center" wrapText="1"/>
    </xf>
    <xf numFmtId="0" fontId="2" fillId="3" borderId="1" xfId="0" applyFont="1" applyFill="1" applyBorder="1" applyAlignment="1">
      <alignment horizontal="left" vertical="center" wrapText="1"/>
    </xf>
    <xf numFmtId="0" fontId="3" fillId="0" borderId="1" xfId="0" applyFont="1" applyBorder="1" applyAlignment="1">
      <alignment horizontal="left" vertical="center" wrapText="1"/>
    </xf>
    <xf numFmtId="0" fontId="4" fillId="0" borderId="0" xfId="0" applyFont="1" applyAlignment="1">
      <alignment horizontal="left" vertical="center"/>
    </xf>
    <xf numFmtId="0" fontId="2" fillId="0" borderId="1" xfId="0" applyFont="1" applyBorder="1" applyAlignment="1">
      <alignment horizontal="center" wrapText="1"/>
    </xf>
    <xf numFmtId="0" fontId="3" fillId="0" borderId="1" xfId="0" applyFont="1" applyBorder="1" applyAlignment="1">
      <alignment horizontal="left" vertical="center"/>
    </xf>
    <xf numFmtId="0" fontId="3" fillId="4" borderId="1" xfId="0" applyFont="1" applyFill="1" applyBorder="1" applyAlignment="1">
      <alignment horizontal="center" vertical="center"/>
    </xf>
    <xf numFmtId="0" fontId="3" fillId="0" borderId="1" xfId="0" applyFont="1" applyBorder="1" applyAlignment="1">
      <alignment horizontal="center" vertical="center"/>
    </xf>
    <xf numFmtId="0" fontId="2" fillId="0" borderId="1" xfId="0" applyFont="1" applyBorder="1" applyAlignment="1">
      <alignment horizontal="left" vertical="center"/>
    </xf>
    <xf numFmtId="0" fontId="2" fillId="5" borderId="1" xfId="0" applyFont="1" applyFill="1" applyBorder="1" applyAlignment="1">
      <alignment horizontal="center" vertical="center"/>
    </xf>
    <xf numFmtId="2" fontId="3" fillId="5" borderId="1" xfId="0" applyNumberFormat="1" applyFont="1" applyFill="1" applyBorder="1" applyAlignment="1">
      <alignment horizontal="center" vertical="center"/>
    </xf>
    <xf numFmtId="1" fontId="2" fillId="5" borderId="1" xfId="0" applyNumberFormat="1" applyFont="1" applyFill="1" applyBorder="1" applyAlignment="1">
      <alignment horizontal="center" vertical="center"/>
    </xf>
    <xf numFmtId="1" fontId="3" fillId="5" borderId="1" xfId="0" applyNumberFormat="1" applyFont="1" applyFill="1" applyBorder="1" applyAlignment="1">
      <alignment horizontal="center" vertical="center"/>
    </xf>
    <xf numFmtId="1" fontId="3" fillId="6" borderId="1" xfId="0" applyNumberFormat="1" applyFont="1" applyFill="1" applyBorder="1" applyAlignment="1">
      <alignment horizontal="center" vertical="center"/>
    </xf>
    <xf numFmtId="164" fontId="3" fillId="4" borderId="1" xfId="0" applyNumberFormat="1" applyFont="1" applyFill="1" applyBorder="1" applyAlignment="1">
      <alignment horizontal="center" vertical="center"/>
    </xf>
    <xf numFmtId="164" fontId="3" fillId="5" borderId="1" xfId="0" applyNumberFormat="1" applyFont="1" applyFill="1" applyBorder="1" applyAlignment="1">
      <alignment horizontal="center" vertical="center"/>
    </xf>
    <xf numFmtId="164" fontId="2" fillId="5" borderId="1" xfId="0" applyNumberFormat="1" applyFont="1" applyFill="1" applyBorder="1" applyAlignment="1">
      <alignment horizontal="center" vertical="center"/>
    </xf>
    <xf numFmtId="0" fontId="3" fillId="5" borderId="1" xfId="0" applyFont="1" applyFill="1" applyBorder="1" applyAlignment="1">
      <alignment horizontal="center" vertical="center"/>
    </xf>
    <xf numFmtId="9" fontId="3" fillId="4" borderId="1" xfId="0" applyNumberFormat="1" applyFont="1" applyFill="1" applyBorder="1" applyAlignment="1">
      <alignment horizontal="center" vertical="center"/>
    </xf>
    <xf numFmtId="2" fontId="2" fillId="5" borderId="1" xfId="0" applyNumberFormat="1" applyFont="1" applyFill="1" applyBorder="1" applyAlignment="1">
      <alignment horizontal="center" vertical="center"/>
    </xf>
    <xf numFmtId="0" fontId="1" fillId="2" borderId="0" xfId="0" applyFont="1" applyFill="1" applyAlignment="1">
      <alignment horizontal="left" vertical="center"/>
    </xf>
    <xf numFmtId="0" fontId="5" fillId="3" borderId="0" xfId="0" applyFont="1" applyFill="1"/>
    <xf numFmtId="0" fontId="3" fillId="7" borderId="1" xfId="0" applyFont="1" applyFill="1" applyBorder="1" applyAlignment="1">
      <alignment horizontal="left" vertical="center" wrapText="1"/>
    </xf>
    <xf numFmtId="0" fontId="1" fillId="2" borderId="0" xfId="0" applyFont="1" applyFill="1" applyAlignment="1">
      <alignment horizontal="center" vertical="center"/>
    </xf>
    <xf numFmtId="0" fontId="3" fillId="8" borderId="1" xfId="0" applyFont="1" applyFill="1" applyBorder="1" applyAlignment="1">
      <alignment horizontal="center" vertical="center"/>
    </xf>
    <xf numFmtId="0" fontId="3" fillId="9"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showGridLines="0" zoomScaleNormal="100" workbookViewId="0">
      <selection sqref="A1:C1"/>
    </sheetView>
  </sheetViews>
  <sheetFormatPr baseColWidth="10" defaultColWidth="8.6640625" defaultRowHeight="15" x14ac:dyDescent="0.2"/>
  <cols>
    <col min="1" max="1" width="4" customWidth="1"/>
    <col min="2" max="2" width="30" customWidth="1"/>
    <col min="3" max="3" width="70" customWidth="1"/>
    <col min="4" max="6" width="4" customWidth="1"/>
  </cols>
  <sheetData>
    <row r="1" spans="1:3" ht="21.75" customHeight="1" x14ac:dyDescent="0.2">
      <c r="A1" s="22" t="s">
        <v>0</v>
      </c>
      <c r="B1" s="22"/>
      <c r="C1" s="22"/>
    </row>
    <row r="3" spans="1:3" ht="60" customHeight="1" x14ac:dyDescent="0.2">
      <c r="B3" s="1" t="s">
        <v>1</v>
      </c>
      <c r="C3" s="2" t="s">
        <v>2</v>
      </c>
    </row>
    <row r="5" spans="1:3" x14ac:dyDescent="0.2">
      <c r="B5" s="1" t="s">
        <v>3</v>
      </c>
    </row>
    <row r="6" spans="1:3" ht="31.5" customHeight="1" x14ac:dyDescent="0.2">
      <c r="B6" s="1" t="s">
        <v>4</v>
      </c>
      <c r="C6" s="2" t="s">
        <v>5</v>
      </c>
    </row>
    <row r="7" spans="1:3" ht="31.5" customHeight="1" x14ac:dyDescent="0.2">
      <c r="B7" s="1" t="s">
        <v>6</v>
      </c>
      <c r="C7" s="2" t="s">
        <v>7</v>
      </c>
    </row>
    <row r="8" spans="1:3" ht="31.5" customHeight="1" x14ac:dyDescent="0.2">
      <c r="B8" s="1" t="s">
        <v>8</v>
      </c>
      <c r="C8" s="2" t="s">
        <v>9</v>
      </c>
    </row>
    <row r="9" spans="1:3" ht="31.5" customHeight="1" x14ac:dyDescent="0.2">
      <c r="B9" s="1" t="s">
        <v>10</v>
      </c>
      <c r="C9" s="2" t="s">
        <v>11</v>
      </c>
    </row>
    <row r="10" spans="1:3" ht="31.5" customHeight="1" x14ac:dyDescent="0.2">
      <c r="B10" s="1" t="s">
        <v>12</v>
      </c>
      <c r="C10" s="2" t="s">
        <v>13</v>
      </c>
    </row>
    <row r="12" spans="1:3" x14ac:dyDescent="0.2">
      <c r="B12" s="1" t="s">
        <v>14</v>
      </c>
    </row>
    <row r="13" spans="1:3" ht="90" customHeight="1" x14ac:dyDescent="0.2">
      <c r="C13" s="2" t="s">
        <v>15</v>
      </c>
    </row>
  </sheetData>
  <mergeCells count="1">
    <mergeCell ref="A1:C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showGridLines="0" zoomScaleNormal="100" workbookViewId="0">
      <pane xSplit="1" ySplit="2" topLeftCell="B3" activePane="bottomRight" state="frozen"/>
      <selection pane="topRight" activeCell="B1" sqref="B1"/>
      <selection pane="bottomLeft" activeCell="A3" sqref="A3"/>
      <selection pane="bottomRight" sqref="A1:C1"/>
    </sheetView>
  </sheetViews>
  <sheetFormatPr baseColWidth="10" defaultColWidth="8.6640625" defaultRowHeight="15" x14ac:dyDescent="0.2"/>
  <cols>
    <col min="1" max="1" width="4" customWidth="1"/>
    <col min="2" max="2" width="26" customWidth="1"/>
    <col min="3" max="3" width="75" customWidth="1"/>
    <col min="4" max="4" width="4" customWidth="1"/>
  </cols>
  <sheetData>
    <row r="1" spans="1:3" ht="21.75" customHeight="1" x14ac:dyDescent="0.2">
      <c r="A1" s="22" t="s">
        <v>16</v>
      </c>
      <c r="B1" s="22"/>
      <c r="C1" s="22"/>
    </row>
    <row r="3" spans="1:3" ht="42" customHeight="1" x14ac:dyDescent="0.2">
      <c r="B3" s="3" t="s">
        <v>17</v>
      </c>
      <c r="C3" s="4" t="s">
        <v>18</v>
      </c>
    </row>
    <row r="4" spans="1:3" ht="84" customHeight="1" x14ac:dyDescent="0.2">
      <c r="B4" s="3" t="s">
        <v>19</v>
      </c>
      <c r="C4" s="4" t="s">
        <v>20</v>
      </c>
    </row>
    <row r="5" spans="1:3" ht="69.75" customHeight="1" x14ac:dyDescent="0.2">
      <c r="B5" s="3" t="s">
        <v>21</v>
      </c>
      <c r="C5" s="4" t="s">
        <v>22</v>
      </c>
    </row>
    <row r="6" spans="1:3" ht="55.5" customHeight="1" x14ac:dyDescent="0.2">
      <c r="B6" s="3" t="s">
        <v>23</v>
      </c>
      <c r="C6" s="4" t="s">
        <v>24</v>
      </c>
    </row>
    <row r="7" spans="1:3" ht="55.5" customHeight="1" x14ac:dyDescent="0.2">
      <c r="B7" s="3" t="s">
        <v>25</v>
      </c>
      <c r="C7" s="4" t="s">
        <v>26</v>
      </c>
    </row>
    <row r="8" spans="1:3" ht="55.5" customHeight="1" x14ac:dyDescent="0.2">
      <c r="B8" s="3" t="s">
        <v>27</v>
      </c>
      <c r="C8" s="4" t="s">
        <v>28</v>
      </c>
    </row>
    <row r="9" spans="1:3" ht="55.5" customHeight="1" x14ac:dyDescent="0.2">
      <c r="B9" s="3" t="s">
        <v>29</v>
      </c>
      <c r="C9" s="4" t="s">
        <v>30</v>
      </c>
    </row>
    <row r="10" spans="1:3" ht="42" customHeight="1" x14ac:dyDescent="0.2">
      <c r="B10" s="3" t="s">
        <v>31</v>
      </c>
      <c r="C10" s="4" t="s">
        <v>32</v>
      </c>
    </row>
    <row r="11" spans="1:3" ht="55.5" customHeight="1" x14ac:dyDescent="0.2">
      <c r="B11" s="3" t="s">
        <v>33</v>
      </c>
      <c r="C11" s="4" t="s">
        <v>34</v>
      </c>
    </row>
    <row r="12" spans="1:3" ht="55.5" customHeight="1" x14ac:dyDescent="0.2">
      <c r="B12" s="3" t="s">
        <v>35</v>
      </c>
      <c r="C12" s="4" t="s">
        <v>36</v>
      </c>
    </row>
    <row r="13" spans="1:3" ht="55.5" customHeight="1" x14ac:dyDescent="0.2">
      <c r="B13" s="3" t="s">
        <v>37</v>
      </c>
      <c r="C13" s="4" t="s">
        <v>38</v>
      </c>
    </row>
  </sheetData>
  <mergeCells count="1">
    <mergeCell ref="A1:C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4"/>
  <sheetViews>
    <sheetView showGridLines="0" tabSelected="1" zoomScaleNormal="100" workbookViewId="0">
      <pane xSplit="1" ySplit="5" topLeftCell="B8" activePane="bottomRight" state="frozen"/>
      <selection pane="topRight" activeCell="B1" sqref="B1"/>
      <selection pane="bottomLeft" activeCell="A6" sqref="A6"/>
      <selection pane="bottomRight" activeCell="B15" sqref="B15"/>
    </sheetView>
  </sheetViews>
  <sheetFormatPr baseColWidth="10" defaultColWidth="8.6640625" defaultRowHeight="15" x14ac:dyDescent="0.2"/>
  <cols>
    <col min="1" max="1" width="10.33203125" bestFit="1" customWidth="1"/>
    <col min="2" max="2" width="73.6640625" bestFit="1" customWidth="1"/>
    <col min="3" max="3" width="12.1640625" bestFit="1" customWidth="1"/>
    <col min="4" max="4" width="9" bestFit="1" customWidth="1"/>
    <col min="5" max="6" width="111.5" bestFit="1" customWidth="1"/>
  </cols>
  <sheetData>
    <row r="1" spans="1:6" ht="21.75" customHeight="1" x14ac:dyDescent="0.2">
      <c r="A1" s="25" t="s">
        <v>39</v>
      </c>
      <c r="B1" s="25"/>
      <c r="C1" s="25"/>
      <c r="D1" s="25"/>
      <c r="E1" s="25"/>
      <c r="F1" s="25"/>
    </row>
    <row r="2" spans="1:6" ht="18" customHeight="1" x14ac:dyDescent="0.2">
      <c r="B2" s="5" t="s">
        <v>40</v>
      </c>
    </row>
    <row r="4" spans="1:6" ht="18" customHeight="1" x14ac:dyDescent="0.2">
      <c r="A4" s="23" t="s">
        <v>41</v>
      </c>
      <c r="B4" s="23"/>
      <c r="C4" s="23"/>
      <c r="D4" s="23"/>
      <c r="E4" s="23"/>
    </row>
    <row r="5" spans="1:6" x14ac:dyDescent="0.2">
      <c r="A5" s="6" t="s">
        <v>42</v>
      </c>
      <c r="B5" s="6" t="s">
        <v>43</v>
      </c>
      <c r="C5" s="6" t="s">
        <v>44</v>
      </c>
      <c r="D5" s="6"/>
      <c r="E5" s="6" t="s">
        <v>45</v>
      </c>
      <c r="F5" s="6" t="s">
        <v>131</v>
      </c>
    </row>
    <row r="6" spans="1:6" ht="27.75" customHeight="1" x14ac:dyDescent="0.2">
      <c r="B6" s="7" t="s">
        <v>46</v>
      </c>
      <c r="C6" s="26" t="s">
        <v>47</v>
      </c>
      <c r="D6" s="9" t="s">
        <v>48</v>
      </c>
      <c r="E6" s="4" t="s">
        <v>49</v>
      </c>
      <c r="F6" s="4"/>
    </row>
    <row r="7" spans="1:6" ht="27.75" customHeight="1" x14ac:dyDescent="0.2">
      <c r="B7" s="7" t="s">
        <v>50</v>
      </c>
      <c r="C7" s="27">
        <v>8</v>
      </c>
      <c r="D7" s="9" t="s">
        <v>51</v>
      </c>
      <c r="E7" s="4" t="s">
        <v>52</v>
      </c>
      <c r="F7" s="4"/>
    </row>
    <row r="8" spans="1:6" ht="27.75" customHeight="1" x14ac:dyDescent="0.2">
      <c r="B8" s="7" t="s">
        <v>53</v>
      </c>
      <c r="C8" s="26">
        <v>160</v>
      </c>
      <c r="D8" s="9" t="s">
        <v>54</v>
      </c>
      <c r="E8" s="4" t="s">
        <v>132</v>
      </c>
      <c r="F8" s="4"/>
    </row>
    <row r="9" spans="1:6" ht="27.75" customHeight="1" x14ac:dyDescent="0.2">
      <c r="B9" s="7" t="s">
        <v>55</v>
      </c>
      <c r="C9" s="26">
        <v>10</v>
      </c>
      <c r="D9" s="9" t="s">
        <v>56</v>
      </c>
      <c r="E9" s="4" t="s">
        <v>57</v>
      </c>
      <c r="F9" s="4"/>
    </row>
    <row r="10" spans="1:6" ht="27.75" customHeight="1" x14ac:dyDescent="0.2">
      <c r="B10" s="7" t="s">
        <v>58</v>
      </c>
      <c r="C10" s="26">
        <v>2.5</v>
      </c>
      <c r="D10" s="9" t="s">
        <v>59</v>
      </c>
      <c r="E10" s="4" t="s">
        <v>60</v>
      </c>
      <c r="F10" s="4"/>
    </row>
    <row r="12" spans="1:6" ht="18" customHeight="1" x14ac:dyDescent="0.2">
      <c r="A12" s="23" t="s">
        <v>61</v>
      </c>
      <c r="B12" s="23"/>
      <c r="C12" s="23"/>
      <c r="D12" s="23"/>
      <c r="E12" s="23"/>
    </row>
    <row r="13" spans="1:6" x14ac:dyDescent="0.2">
      <c r="A13" s="6" t="s">
        <v>62</v>
      </c>
      <c r="B13" s="6" t="s">
        <v>63</v>
      </c>
      <c r="C13" s="6" t="s">
        <v>44</v>
      </c>
      <c r="D13" s="6"/>
      <c r="E13" s="6" t="s">
        <v>45</v>
      </c>
      <c r="F13" s="6"/>
    </row>
    <row r="14" spans="1:6" ht="27.75" customHeight="1" x14ac:dyDescent="0.2">
      <c r="B14" s="7" t="s">
        <v>64</v>
      </c>
      <c r="C14" s="8">
        <v>320</v>
      </c>
      <c r="D14" s="9" t="s">
        <v>54</v>
      </c>
      <c r="E14" s="4" t="s">
        <v>65</v>
      </c>
      <c r="F14" s="4"/>
    </row>
    <row r="15" spans="1:6" ht="27.75" customHeight="1" x14ac:dyDescent="0.2">
      <c r="B15" s="7" t="s">
        <v>66</v>
      </c>
      <c r="C15" s="8">
        <v>260</v>
      </c>
      <c r="D15" s="9" t="s">
        <v>54</v>
      </c>
      <c r="E15" s="4" t="s">
        <v>67</v>
      </c>
      <c r="F15" s="4"/>
    </row>
    <row r="16" spans="1:6" ht="27.75" customHeight="1" x14ac:dyDescent="0.2">
      <c r="B16" s="7" t="s">
        <v>68</v>
      </c>
      <c r="C16" s="8">
        <v>60</v>
      </c>
      <c r="D16" s="9" t="s">
        <v>54</v>
      </c>
      <c r="E16" s="4" t="s">
        <v>69</v>
      </c>
      <c r="F16" s="4"/>
    </row>
    <row r="17" spans="1:6" ht="27.75" customHeight="1" x14ac:dyDescent="0.2">
      <c r="B17" s="7" t="s">
        <v>70</v>
      </c>
      <c r="C17" s="8">
        <v>50</v>
      </c>
      <c r="D17" s="9" t="s">
        <v>54</v>
      </c>
      <c r="E17" s="4" t="s">
        <v>71</v>
      </c>
      <c r="F17" s="4"/>
    </row>
    <row r="18" spans="1:6" ht="27.75" customHeight="1" x14ac:dyDescent="0.2">
      <c r="B18" s="7" t="s">
        <v>72</v>
      </c>
      <c r="C18" s="8">
        <v>60</v>
      </c>
      <c r="D18" s="9" t="s">
        <v>54</v>
      </c>
      <c r="E18" s="4" t="s">
        <v>73</v>
      </c>
      <c r="F18" s="4"/>
    </row>
    <row r="19" spans="1:6" ht="27.75" customHeight="1" x14ac:dyDescent="0.2">
      <c r="B19" s="7" t="s">
        <v>74</v>
      </c>
      <c r="C19" s="8">
        <v>40</v>
      </c>
      <c r="D19" s="9" t="s">
        <v>54</v>
      </c>
      <c r="E19" s="4" t="s">
        <v>75</v>
      </c>
      <c r="F19" s="4"/>
    </row>
    <row r="20" spans="1:6" ht="27.75" customHeight="1" x14ac:dyDescent="0.2">
      <c r="B20" s="7" t="s">
        <v>76</v>
      </c>
      <c r="C20" s="9">
        <f>C8</f>
        <v>160</v>
      </c>
      <c r="D20" s="9" t="s">
        <v>54</v>
      </c>
      <c r="E20" s="4" t="s">
        <v>77</v>
      </c>
      <c r="F20" s="4"/>
    </row>
    <row r="21" spans="1:6" x14ac:dyDescent="0.2">
      <c r="B21" s="10" t="s">
        <v>78</v>
      </c>
      <c r="C21" s="11">
        <f>SUM(C14:C20)</f>
        <v>950</v>
      </c>
      <c r="D21" s="9" t="s">
        <v>54</v>
      </c>
      <c r="E21" s="4" t="s">
        <v>79</v>
      </c>
      <c r="F21" s="4"/>
    </row>
    <row r="23" spans="1:6" ht="18" customHeight="1" x14ac:dyDescent="0.2">
      <c r="A23" s="23" t="s">
        <v>80</v>
      </c>
      <c r="B23" s="23"/>
      <c r="C23" s="23"/>
      <c r="D23" s="23"/>
      <c r="E23" s="23"/>
    </row>
    <row r="24" spans="1:6" x14ac:dyDescent="0.2">
      <c r="A24" s="6" t="s">
        <v>42</v>
      </c>
      <c r="B24" s="6" t="s">
        <v>43</v>
      </c>
      <c r="C24" s="6" t="s">
        <v>44</v>
      </c>
      <c r="D24" s="6"/>
      <c r="E24" s="6" t="s">
        <v>45</v>
      </c>
      <c r="F24" s="6"/>
    </row>
    <row r="25" spans="1:6" ht="30" customHeight="1" x14ac:dyDescent="0.2">
      <c r="B25" s="7" t="s">
        <v>81</v>
      </c>
      <c r="C25" s="8">
        <v>460</v>
      </c>
      <c r="D25" s="9" t="s">
        <v>54</v>
      </c>
      <c r="E25" s="4" t="s">
        <v>82</v>
      </c>
      <c r="F25" s="4"/>
    </row>
    <row r="26" spans="1:6" x14ac:dyDescent="0.2">
      <c r="B26" s="10" t="s">
        <v>83</v>
      </c>
      <c r="C26" s="11">
        <f>C21+C25</f>
        <v>1410</v>
      </c>
      <c r="D26" s="9" t="s">
        <v>54</v>
      </c>
      <c r="E26" s="4" t="s">
        <v>84</v>
      </c>
      <c r="F26" s="4"/>
    </row>
    <row r="27" spans="1:6" x14ac:dyDescent="0.2">
      <c r="B27" s="7" t="s">
        <v>85</v>
      </c>
      <c r="C27" s="12">
        <f>C26/1000</f>
        <v>1.41</v>
      </c>
      <c r="D27" s="9" t="s">
        <v>86</v>
      </c>
    </row>
    <row r="28" spans="1:6" ht="31.5" customHeight="1" x14ac:dyDescent="0.2">
      <c r="B28" s="10" t="s">
        <v>87</v>
      </c>
      <c r="C28" s="13">
        <f>C26*C10</f>
        <v>3525</v>
      </c>
      <c r="D28" s="9" t="s">
        <v>88</v>
      </c>
      <c r="E28" s="4" t="s">
        <v>89</v>
      </c>
      <c r="F28" s="4"/>
    </row>
    <row r="29" spans="1:6" x14ac:dyDescent="0.2">
      <c r="B29" s="7" t="s">
        <v>90</v>
      </c>
      <c r="C29" s="14">
        <f>C28/4</f>
        <v>881.25</v>
      </c>
      <c r="D29" s="9" t="s">
        <v>88</v>
      </c>
      <c r="E29" s="4" t="s">
        <v>91</v>
      </c>
      <c r="F29" s="4"/>
    </row>
    <row r="30" spans="1:6" x14ac:dyDescent="0.2">
      <c r="B30" s="7" t="s">
        <v>92</v>
      </c>
      <c r="C30" s="15">
        <f>C26/4</f>
        <v>352.5</v>
      </c>
      <c r="D30" s="9" t="s">
        <v>88</v>
      </c>
      <c r="E30" s="4" t="s">
        <v>93</v>
      </c>
      <c r="F30" s="4"/>
    </row>
    <row r="32" spans="1:6" ht="27.75" customHeight="1" x14ac:dyDescent="0.2">
      <c r="B32" s="10" t="s">
        <v>94</v>
      </c>
      <c r="C32" s="24" t="str">
        <f>IF(C10&lt;2,"WARNING: T/W below 2.0 — may struggle to hover reliably with any margin.",IF(C10&gt;4,"NOTE: T/W above 4.0 is usually unnecessary for a stable camera platform — extra cost/complexity.","OK — T/W target is in a reasonable range for a stable camera platform."))</f>
        <v>OK — T/W target is in a reasonable range for a stable camera platform.</v>
      </c>
      <c r="D32" s="24"/>
      <c r="E32" s="24"/>
    </row>
    <row r="34" spans="1:6" ht="18" customHeight="1" x14ac:dyDescent="0.2">
      <c r="A34" s="23" t="s">
        <v>95</v>
      </c>
      <c r="B34" s="23"/>
      <c r="C34" s="23"/>
      <c r="D34" s="23"/>
      <c r="E34" s="23"/>
    </row>
    <row r="35" spans="1:6" x14ac:dyDescent="0.2">
      <c r="A35" s="6" t="s">
        <v>42</v>
      </c>
      <c r="B35" s="6" t="s">
        <v>43</v>
      </c>
      <c r="C35" s="6" t="s">
        <v>44</v>
      </c>
      <c r="D35" s="6"/>
      <c r="E35" s="6" t="s">
        <v>45</v>
      </c>
      <c r="F35" s="6"/>
    </row>
    <row r="36" spans="1:6" ht="55.5" customHeight="1" x14ac:dyDescent="0.2">
      <c r="B36" s="7" t="s">
        <v>96</v>
      </c>
      <c r="C36" s="16">
        <v>8</v>
      </c>
      <c r="D36" s="9" t="s">
        <v>97</v>
      </c>
      <c r="E36" s="4" t="s">
        <v>98</v>
      </c>
      <c r="F36" s="4"/>
    </row>
    <row r="37" spans="1:6" ht="27.75" customHeight="1" x14ac:dyDescent="0.2">
      <c r="B37" s="7" t="s">
        <v>99</v>
      </c>
      <c r="C37" s="14">
        <f>C30/C36</f>
        <v>44.0625</v>
      </c>
      <c r="D37" s="9" t="s">
        <v>100</v>
      </c>
      <c r="E37" s="4" t="s">
        <v>101</v>
      </c>
      <c r="F37" s="4"/>
    </row>
    <row r="38" spans="1:6" ht="27.75" customHeight="1" x14ac:dyDescent="0.2">
      <c r="B38" s="7" t="s">
        <v>102</v>
      </c>
      <c r="C38" s="8">
        <v>4</v>
      </c>
      <c r="D38" s="9" t="s">
        <v>103</v>
      </c>
      <c r="E38" s="4" t="s">
        <v>104</v>
      </c>
      <c r="F38" s="4"/>
    </row>
    <row r="39" spans="1:6" x14ac:dyDescent="0.2">
      <c r="B39" s="7" t="s">
        <v>105</v>
      </c>
      <c r="C39" s="17">
        <f>C38*3.7</f>
        <v>14.8</v>
      </c>
      <c r="D39" s="9" t="s">
        <v>106</v>
      </c>
      <c r="E39" s="4" t="s">
        <v>107</v>
      </c>
      <c r="F39" s="4"/>
    </row>
    <row r="40" spans="1:6" ht="30" customHeight="1" x14ac:dyDescent="0.2">
      <c r="B40" s="10" t="s">
        <v>108</v>
      </c>
      <c r="C40" s="18">
        <f>C37/C39</f>
        <v>2.9771959459459456</v>
      </c>
      <c r="D40" s="9" t="s">
        <v>109</v>
      </c>
      <c r="E40" s="4" t="s">
        <v>110</v>
      </c>
      <c r="F40" s="4"/>
    </row>
    <row r="41" spans="1:6" x14ac:dyDescent="0.2">
      <c r="B41" s="7" t="s">
        <v>111</v>
      </c>
      <c r="C41" s="19">
        <f>C40*4</f>
        <v>11.908783783783782</v>
      </c>
      <c r="D41" s="9" t="s">
        <v>109</v>
      </c>
    </row>
    <row r="42" spans="1:6" ht="30" customHeight="1" x14ac:dyDescent="0.2">
      <c r="B42" s="7" t="s">
        <v>112</v>
      </c>
      <c r="C42" s="20">
        <v>0.8</v>
      </c>
      <c r="D42" s="9" t="s">
        <v>48</v>
      </c>
      <c r="E42" s="4" t="s">
        <v>113</v>
      </c>
      <c r="F42" s="4"/>
    </row>
    <row r="43" spans="1:6" ht="30" customHeight="1" x14ac:dyDescent="0.2">
      <c r="B43" s="10" t="s">
        <v>114</v>
      </c>
      <c r="C43" s="13">
        <f>(C9*C41*1000/60)/C42</f>
        <v>2480.9966216216212</v>
      </c>
      <c r="D43" s="9" t="s">
        <v>115</v>
      </c>
      <c r="E43" s="4" t="s">
        <v>116</v>
      </c>
      <c r="F43" s="4"/>
    </row>
    <row r="44" spans="1:6" ht="27.75" customHeight="1" x14ac:dyDescent="0.2">
      <c r="B44" s="7" t="s">
        <v>117</v>
      </c>
      <c r="C44" s="14">
        <f>C43/1000*190</f>
        <v>471.38935810810801</v>
      </c>
      <c r="D44" s="9" t="s">
        <v>54</v>
      </c>
      <c r="E44" s="4" t="s">
        <v>118</v>
      </c>
      <c r="F44" s="4"/>
    </row>
    <row r="46" spans="1:6" ht="30" customHeight="1" x14ac:dyDescent="0.2">
      <c r="B46" s="10" t="s">
        <v>119</v>
      </c>
      <c r="C46" s="24" t="str">
        <f>IF(ABS(C25-C44)&lt;20,"OK — within 20g, no need to re-iterate.","RE-ITERATE: update the ''Working AUW'' battery assumption in Section 3 to "&amp;ROUND(C44,0)&amp;"g and re-check thrust numbers above.")</f>
        <v>OK — within 20g, no need to re-iterate.</v>
      </c>
      <c r="D46" s="24"/>
      <c r="E46" s="24"/>
    </row>
    <row r="48" spans="1:6" ht="18" customHeight="1" x14ac:dyDescent="0.2">
      <c r="A48" s="23" t="s">
        <v>120</v>
      </c>
      <c r="B48" s="23"/>
      <c r="C48" s="23"/>
      <c r="D48" s="23"/>
      <c r="E48" s="23"/>
    </row>
    <row r="49" spans="1:6" x14ac:dyDescent="0.2">
      <c r="A49" s="6" t="s">
        <v>121</v>
      </c>
      <c r="B49" s="6" t="s">
        <v>43</v>
      </c>
      <c r="C49" s="6" t="s">
        <v>44</v>
      </c>
      <c r="D49" s="6"/>
      <c r="E49" s="6" t="s">
        <v>122</v>
      </c>
      <c r="F49" s="6"/>
    </row>
    <row r="50" spans="1:6" ht="25.5" customHeight="1" x14ac:dyDescent="0.2">
      <c r="B50" s="10" t="s">
        <v>83</v>
      </c>
      <c r="C50" s="13">
        <f>C26</f>
        <v>1410</v>
      </c>
      <c r="D50" s="9" t="s">
        <v>54</v>
      </c>
      <c r="E50" s="4" t="s">
        <v>123</v>
      </c>
      <c r="F50" s="4"/>
    </row>
    <row r="51" spans="1:6" ht="25.5" customHeight="1" x14ac:dyDescent="0.2">
      <c r="B51" s="10" t="s">
        <v>124</v>
      </c>
      <c r="C51" s="21">
        <f>C29</f>
        <v>881.25</v>
      </c>
      <c r="D51" s="9" t="s">
        <v>88</v>
      </c>
      <c r="E51" s="4" t="s">
        <v>125</v>
      </c>
      <c r="F51" s="4"/>
    </row>
    <row r="52" spans="1:6" ht="25.5" customHeight="1" x14ac:dyDescent="0.2">
      <c r="B52" s="10" t="s">
        <v>114</v>
      </c>
      <c r="C52" s="21">
        <f>C43</f>
        <v>2480.9966216216212</v>
      </c>
      <c r="D52" s="9" t="s">
        <v>115</v>
      </c>
      <c r="E52" s="4" t="s">
        <v>126</v>
      </c>
      <c r="F52" s="4"/>
    </row>
    <row r="53" spans="1:6" ht="25.5" customHeight="1" x14ac:dyDescent="0.2">
      <c r="B53" s="10" t="s">
        <v>102</v>
      </c>
      <c r="C53" s="21">
        <f>C38</f>
        <v>4</v>
      </c>
      <c r="D53" s="9" t="s">
        <v>127</v>
      </c>
      <c r="E53" s="4" t="s">
        <v>128</v>
      </c>
      <c r="F53" s="4"/>
    </row>
    <row r="54" spans="1:6" ht="25.5" customHeight="1" x14ac:dyDescent="0.2">
      <c r="B54" s="10" t="s">
        <v>129</v>
      </c>
      <c r="C54" s="21">
        <f>C7</f>
        <v>8</v>
      </c>
      <c r="D54" s="9" t="s">
        <v>51</v>
      </c>
      <c r="E54" s="4" t="s">
        <v>130</v>
      </c>
      <c r="F54" s="4"/>
    </row>
  </sheetData>
  <mergeCells count="8">
    <mergeCell ref="A1:F1"/>
    <mergeCell ref="A34:E34"/>
    <mergeCell ref="C46:E46"/>
    <mergeCell ref="A48:E48"/>
    <mergeCell ref="A4:E4"/>
    <mergeCell ref="A12:E12"/>
    <mergeCell ref="A23:E23"/>
    <mergeCell ref="C32:E3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README</vt:lpstr>
      <vt:lpstr>Concepts Explained</vt:lpstr>
      <vt:lpstr>Sizing Calculator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Brian Chung</cp:lastModifiedBy>
  <cp:revision>0</cp:revision>
  <dcterms:created xsi:type="dcterms:W3CDTF">2026-06-21T01:13:35Z</dcterms:created>
  <dcterms:modified xsi:type="dcterms:W3CDTF">2026-06-30T04:04:47Z</dcterms:modified>
  <dc:language>en-US</dc:language>
</cp:coreProperties>
</file>